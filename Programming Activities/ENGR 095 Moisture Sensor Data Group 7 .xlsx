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ta" sheetId="1" r:id="rId5"/>
    <sheet state="visible" name="Summary Chart" sheetId="2" r:id="rId6"/>
    <sheet state="visible" name="Manual Data" sheetId="3" r:id="rId7"/>
    <sheet state="visible" name="Automated Data" sheetId="4" r:id="rId8"/>
  </sheets>
  <definedNames/>
  <calcPr/>
</workbook>
</file>

<file path=xl/sharedStrings.xml><?xml version="1.0" encoding="utf-8"?>
<sst xmlns="http://schemas.openxmlformats.org/spreadsheetml/2006/main" count="37" uniqueCount="22">
  <si>
    <t>Condition</t>
  </si>
  <si>
    <t>Measured</t>
  </si>
  <si>
    <t>Sampled with ADC</t>
  </si>
  <si>
    <t>Sample 1 (V)</t>
  </si>
  <si>
    <t>Average</t>
  </si>
  <si>
    <t>Sample 2 (V)</t>
  </si>
  <si>
    <t>Std. Dev.</t>
  </si>
  <si>
    <t>Sample 3 (V)</t>
  </si>
  <si>
    <t>Completely Dry</t>
  </si>
  <si>
    <t>Sample 4 (V)</t>
  </si>
  <si>
    <t>Sample 5 (V)</t>
  </si>
  <si>
    <t>Sample 6 (V)</t>
  </si>
  <si>
    <t>Sample 7 (V)</t>
  </si>
  <si>
    <t>Sample 8 (V)</t>
  </si>
  <si>
    <t>Sample 9 (V)</t>
  </si>
  <si>
    <t>Sample 10 (V)</t>
  </si>
  <si>
    <t>Blowing on it</t>
  </si>
  <si>
    <t>Half wiped</t>
  </si>
  <si>
    <t>Entire surface wiped</t>
  </si>
  <si>
    <t>wipe on entire surface</t>
  </si>
  <si>
    <t>Half wiped down with the wet wipe</t>
  </si>
  <si>
    <t>Wipe on entire surface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</si>
</sst>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#,##0.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'Summary Data'!$B$1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Measured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Data'!$A$2:$A$7</c:f>
            </c:numRef>
          </c:xVal>
          <c:yVal>
            <c:numRef>
              <c:f>'Summary Data'!$B$2:$B$7</c:f>
              <c:numCache/>
            </c:numRef>
          </c:yVal>
        </c:ser>
        <c:ser>
          <c:idx val="1"/>
          <c:order val="1"/>
          <c:tx>
            <c:strRef>
              <c:f>'Summary Data'!$D$1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Trendline for Sampled with ADC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Data'!$A$2:$A$7</c:f>
            </c:numRef>
          </c:xVal>
          <c:yVal>
            <c:numRef>
              <c:f>'Summary Data'!$D$2:$D$7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931885"/>
        <c:axId val="1004765717"/>
      </c:scatterChart>
      <c:valAx>
        <c:axId val="17179318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4765717"/>
      </c:valAx>
      <c:valAx>
        <c:axId val="10047657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Voltage(V)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7931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</row>
    <row r="2">
      <c r="B2" s="2" t="s">
        <v>4</v>
      </c>
      <c r="C2" s="2" t="s">
        <v>6</v>
      </c>
      <c r="D2" s="2" t="s">
        <v>4</v>
      </c>
      <c r="E2" s="2" t="s">
        <v>6</v>
      </c>
    </row>
    <row r="3">
      <c r="A3" s="2" t="s">
        <v>8</v>
      </c>
      <c r="B3" s="6">
        <f>AVERAGE('Manual Data'!B2:D2)</f>
        <v>3.294</v>
      </c>
      <c r="C3" s="7">
        <f>STDEV('Manual Data'!B2:D2)</f>
        <v>0</v>
      </c>
      <c r="D3" s="8">
        <f>AVERAGE('Automated Data'!B2:K2)</f>
        <v>3.3</v>
      </c>
      <c r="E3" s="2">
        <f>STDEV('Automated Data'!C2:L2)</f>
        <v>0</v>
      </c>
    </row>
    <row r="4">
      <c r="A4" s="2" t="s">
        <v>16</v>
      </c>
      <c r="B4" s="6">
        <f>AVERAGE('Manual Data'!B3:D3)</f>
        <v>3.284333333</v>
      </c>
      <c r="C4" s="9">
        <f>STDEV('Manual Data'!B3:D3)</f>
        <v>0.01250333289</v>
      </c>
      <c r="D4" s="10">
        <f>AVERAGE('Automated Data'!B3:K3)</f>
        <v>2.1835</v>
      </c>
      <c r="E4" s="6">
        <f>STDEV('Automated Data'!C3:L3)</f>
        <v>0.1812291367</v>
      </c>
    </row>
    <row r="5">
      <c r="A5" s="3" t="s">
        <v>20</v>
      </c>
      <c r="B5" s="6">
        <f>AVERAGE('Manual Data'!B4:D4)</f>
        <v>2.273666667</v>
      </c>
      <c r="C5" s="9">
        <f>STDEV('Manual Data'!B4:D4)</f>
        <v>0.1153704179</v>
      </c>
      <c r="D5" s="10">
        <f>AVERAGE('Automated Data'!B4:K4)</f>
        <v>1.675</v>
      </c>
      <c r="E5" s="6">
        <f>STDEV('Automated Data'!C4:L4)</f>
        <v>0.3219728249</v>
      </c>
    </row>
    <row r="6">
      <c r="A6" s="3" t="s">
        <v>18</v>
      </c>
      <c r="B6" s="6">
        <f>AVERAGE('Manual Data'!B5:D5)</f>
        <v>1.613</v>
      </c>
      <c r="C6" s="9">
        <f>STDEV('Manual Data'!B5:D5)</f>
        <v>0.04121892769</v>
      </c>
      <c r="D6" s="10">
        <f>AVERAGE('Automated Data'!B5:K5)</f>
        <v>1.3578</v>
      </c>
      <c r="E6" s="6">
        <f>STDEV('Automated Data'!C5:L5)</f>
        <v>0.3273694821</v>
      </c>
    </row>
    <row r="7">
      <c r="A7" s="3" t="s">
        <v>21</v>
      </c>
      <c r="B7" s="6">
        <f>AVERAGE('Manual Data'!B6:D6)</f>
        <v>1.110333333</v>
      </c>
      <c r="C7" s="9">
        <f>STDEV('Manual Data'!B6:D6)</f>
        <v>0.05437217426</v>
      </c>
      <c r="D7" s="10">
        <f>AVERAGE('Automated Data'!B6:K6)</f>
        <v>1.0862</v>
      </c>
      <c r="E7" s="6">
        <f>STDEV('Automated Data'!C6:L6)</f>
        <v>0.07338104509</v>
      </c>
    </row>
  </sheetData>
  <mergeCells count="3">
    <mergeCell ref="A1:A2"/>
    <mergeCell ref="B1:C1"/>
    <mergeCell ref="D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4" t="s">
        <v>0</v>
      </c>
      <c r="B1" s="1" t="s">
        <v>3</v>
      </c>
      <c r="C1" s="1" t="s">
        <v>5</v>
      </c>
      <c r="D1" s="1" t="s">
        <v>7</v>
      </c>
    </row>
    <row r="2">
      <c r="A2" s="3" t="s">
        <v>8</v>
      </c>
      <c r="B2" s="2">
        <v>3.294</v>
      </c>
      <c r="C2" s="2">
        <v>3.294</v>
      </c>
      <c r="D2" s="2">
        <v>3.294</v>
      </c>
    </row>
    <row r="3">
      <c r="A3" s="3" t="s">
        <v>16</v>
      </c>
      <c r="B3" s="2">
        <v>3.284</v>
      </c>
      <c r="C3" s="2">
        <v>3.272</v>
      </c>
      <c r="D3" s="8">
        <v>3.297</v>
      </c>
    </row>
    <row r="4">
      <c r="A4" s="3" t="s">
        <v>17</v>
      </c>
      <c r="B4" s="2">
        <v>2.151</v>
      </c>
      <c r="C4" s="6">
        <v>2.38</v>
      </c>
      <c r="D4" s="2">
        <v>2.29</v>
      </c>
    </row>
    <row r="5">
      <c r="A5" s="3" t="s">
        <v>18</v>
      </c>
      <c r="B5" s="2">
        <v>1.583</v>
      </c>
      <c r="C5" s="2">
        <v>1.596</v>
      </c>
      <c r="D5" s="2">
        <v>1.66</v>
      </c>
    </row>
    <row r="6">
      <c r="A6" s="3" t="s">
        <v>19</v>
      </c>
      <c r="B6" s="2">
        <v>1.048</v>
      </c>
      <c r="C6" s="2">
        <v>1.148</v>
      </c>
      <c r="D6" s="2">
        <v>1.135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</row>
    <row r="2">
      <c r="A2" s="3" t="s">
        <v>8</v>
      </c>
      <c r="B2" s="5">
        <v>3.3</v>
      </c>
      <c r="C2" s="5">
        <v>3.3</v>
      </c>
      <c r="D2" s="5">
        <v>3.3</v>
      </c>
      <c r="E2" s="5">
        <v>3.3</v>
      </c>
      <c r="F2" s="5">
        <v>3.3</v>
      </c>
      <c r="G2" s="5">
        <v>3.3</v>
      </c>
      <c r="H2" s="5">
        <v>3.3</v>
      </c>
      <c r="I2" s="5">
        <v>3.3</v>
      </c>
      <c r="J2" s="5">
        <v>3.3</v>
      </c>
      <c r="K2" s="5">
        <v>3.3</v>
      </c>
    </row>
    <row r="3">
      <c r="A3" s="3" t="s">
        <v>16</v>
      </c>
      <c r="B3" s="5">
        <v>1.864</v>
      </c>
      <c r="C3" s="5">
        <v>2.1</v>
      </c>
      <c r="D3" s="5">
        <v>2.011</v>
      </c>
      <c r="E3" s="5">
        <v>2.061</v>
      </c>
      <c r="F3" s="5">
        <v>2.107</v>
      </c>
      <c r="G3" s="5">
        <v>2.136</v>
      </c>
      <c r="H3" s="5">
        <v>2.573</v>
      </c>
      <c r="I3" s="5">
        <v>2.33</v>
      </c>
      <c r="J3" s="5">
        <v>2.317</v>
      </c>
      <c r="K3" s="5">
        <v>2.336</v>
      </c>
    </row>
    <row r="4">
      <c r="A4" s="3" t="s">
        <v>17</v>
      </c>
      <c r="B4" s="5">
        <v>1.891</v>
      </c>
      <c r="C4" s="5">
        <v>1.836</v>
      </c>
      <c r="D4" s="5">
        <v>1.83</v>
      </c>
      <c r="E4" s="5">
        <v>1.852</v>
      </c>
      <c r="F4" s="5">
        <v>1.105</v>
      </c>
      <c r="G4" s="5">
        <v>1.079</v>
      </c>
      <c r="H4" s="5">
        <v>1.679</v>
      </c>
      <c r="I4" s="5">
        <v>1.77</v>
      </c>
      <c r="J4" s="5">
        <v>1.853</v>
      </c>
      <c r="K4" s="5">
        <v>1.855</v>
      </c>
    </row>
    <row r="5">
      <c r="A5" s="3" t="s">
        <v>18</v>
      </c>
      <c r="B5" s="5">
        <v>2.035</v>
      </c>
      <c r="C5" s="5">
        <v>1.627</v>
      </c>
      <c r="D5" s="5">
        <v>1.63</v>
      </c>
      <c r="E5" s="5">
        <v>1.434</v>
      </c>
      <c r="F5" s="5">
        <v>1.326</v>
      </c>
      <c r="G5" s="5">
        <v>1.261</v>
      </c>
      <c r="H5" s="5">
        <v>1.263</v>
      </c>
      <c r="I5" s="5">
        <v>1.235</v>
      </c>
      <c r="J5" s="5">
        <v>1.252</v>
      </c>
      <c r="K5" s="5">
        <v>0.515</v>
      </c>
    </row>
    <row r="6">
      <c r="A6" s="3" t="s">
        <v>19</v>
      </c>
      <c r="B6" s="5">
        <v>1.092</v>
      </c>
      <c r="C6" s="5">
        <v>1.056</v>
      </c>
      <c r="D6" s="5">
        <v>1.044</v>
      </c>
      <c r="E6" s="5">
        <v>1.031</v>
      </c>
      <c r="F6" s="5">
        <v>1.018</v>
      </c>
      <c r="G6" s="5">
        <v>1.0</v>
      </c>
      <c r="H6" s="5">
        <v>1.195</v>
      </c>
      <c r="I6" s="5">
        <v>1.193</v>
      </c>
      <c r="J6" s="5">
        <v>1.126</v>
      </c>
      <c r="K6" s="5">
        <v>1.107</v>
      </c>
    </row>
    <row r="7">
      <c r="B7" s="5"/>
      <c r="C7" s="5"/>
      <c r="D7" s="5"/>
      <c r="E7" s="5"/>
      <c r="F7" s="5"/>
    </row>
    <row r="8">
      <c r="B8" s="5"/>
      <c r="C8" s="5"/>
      <c r="D8" s="5"/>
      <c r="E8" s="5"/>
      <c r="F8" s="5"/>
    </row>
    <row r="9">
      <c r="B9" s="5"/>
      <c r="C9" s="5"/>
      <c r="D9" s="5"/>
      <c r="E9" s="5"/>
      <c r="F9" s="5"/>
    </row>
    <row r="10">
      <c r="B10" s="5"/>
      <c r="C10" s="5"/>
      <c r="D10" s="5"/>
      <c r="E10" s="5"/>
      <c r="F10" s="5"/>
    </row>
    <row r="11">
      <c r="B11" s="5"/>
      <c r="C11" s="5"/>
      <c r="D11" s="5"/>
      <c r="E11" s="5"/>
      <c r="F11" s="5"/>
    </row>
  </sheetData>
  <drawing r:id="rId1"/>
</worksheet>
</file>